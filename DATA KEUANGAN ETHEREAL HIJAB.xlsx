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Proyek" state="visible" r:id="rId4"/>
    <sheet sheetId="2" name="Investasi Awal" state="visible" r:id="rId5"/>
    <sheet sheetId="3" name="HPP &amp; Biaya Variabel" state="visible" r:id="rId6"/>
    <sheet sheetId="4" name="Arus Kas" state="visible" r:id="rId7"/>
    <sheet sheetId="5" name="Analisis Kelayakan" state="visible" r:id="rId8"/>
  </sheets>
  <calcPr calcId="171027"/>
</workbook>
</file>

<file path=xl/sharedStrings.xml><?xml version="1.0" encoding="utf-8"?>
<sst xmlns="http://schemas.openxmlformats.org/spreadsheetml/2006/main" count="87" uniqueCount="78">
  <si>
    <t>STUDI KELAYAKAN BISNIS (SKB) - ETHEREAL HIJAB</t>
  </si>
  <si>
    <t>Pemilik Usaha:</t>
  </si>
  <si>
    <t>Meutia</t>
  </si>
  <si>
    <t>NPM:</t>
  </si>
  <si>
    <t>062140612888</t>
  </si>
  <si>
    <t>Kelas:</t>
  </si>
  <si>
    <t>8 BPA</t>
  </si>
  <si>
    <t>Daftar Produk &amp; Harga Jual:</t>
  </si>
  <si>
    <t>ID</t>
  </si>
  <si>
    <t>Nama Produk</t>
  </si>
  <si>
    <t>Harga Jual (IDR)</t>
  </si>
  <si>
    <t>Ethereal Voal Square Premium</t>
  </si>
  <si>
    <t>Silk Pashmina Shimmer</t>
  </si>
  <si>
    <t>Bergo Maryam Instant Daily</t>
  </si>
  <si>
    <t>Pashmina Inner 2-in-1 Ethereal</t>
  </si>
  <si>
    <t>Turban Instant Pleated</t>
  </si>
  <si>
    <t>Sport Hijab Active Air</t>
  </si>
  <si>
    <t>Ciput Rajut Anti Bingung</t>
  </si>
  <si>
    <t>BIAYA INVESTASI AWAL - ETHEREAL HIJAB</t>
  </si>
  <si>
    <t>No</t>
  </si>
  <si>
    <t>Uraian Kebutuhan</t>
  </si>
  <si>
    <t>Kuantitas</t>
  </si>
  <si>
    <t>Harga Satuan (IDR)</t>
  </si>
  <si>
    <t>Jumlah Biaya (IDR)</t>
  </si>
  <si>
    <t>Mesin Jahit Juki High Speed</t>
  </si>
  <si>
    <t>Mesin Obras Benang 4</t>
  </si>
  <si>
    <t>Gunting Kain Elektrik</t>
  </si>
  <si>
    <t>Setrika Uap / Steamer</t>
  </si>
  <si>
    <t>Manekin Set Hanger</t>
  </si>
  <si>
    <t>Sewa Workshop &amp; Butik (1 Tahun)</t>
  </si>
  <si>
    <t>Renovasi Interior Butik</t>
  </si>
  <si>
    <t>Papan Nama Acrylic &amp; LED</t>
  </si>
  <si>
    <t>Laptop Administrasi Kasir</t>
  </si>
  <si>
    <t>Biaya Legalitas &amp; Izin Usaha</t>
  </si>
  <si>
    <t>Kas Awal / Modal Kerja Operasional</t>
  </si>
  <si>
    <t>TOTAL INVESTASI AWAL</t>
  </si>
  <si>
    <t>BIAYA PRODUKSI &amp; MARGIN HPP</t>
  </si>
  <si>
    <t>Nama Hijab</t>
  </si>
  <si>
    <t>Bahan Baku (IDR)</t>
  </si>
  <si>
    <t>Packaging &amp; Label (IDR)</t>
  </si>
  <si>
    <t>Tenaga Kerja Jahit (IDR)</t>
  </si>
  <si>
    <t>Total HPP (IDR)</t>
  </si>
  <si>
    <t>Margin Laba (IDR)</t>
  </si>
  <si>
    <t>PROYEKSI ARUS KAS 12 BULAN (TAHUNAN) - ETHEREAL HIJAB</t>
  </si>
  <si>
    <t>Uraian / Bulan</t>
  </si>
  <si>
    <t>Bulan 1</t>
  </si>
  <si>
    <t>Bulan 2</t>
  </si>
  <si>
    <t>Bulan 3</t>
  </si>
  <si>
    <t>Bulan 4</t>
  </si>
  <si>
    <t>Bulan 5</t>
  </si>
  <si>
    <t>Bulan 6</t>
  </si>
  <si>
    <t>Bulan 7</t>
  </si>
  <si>
    <t>Bulan 8</t>
  </si>
  <si>
    <t>Bulan 9</t>
  </si>
  <si>
    <t>Bulan 10</t>
  </si>
  <si>
    <t>Bulan 11</t>
  </si>
  <si>
    <t>Bulan 12</t>
  </si>
  <si>
    <t>Penerimaan Kas (Omset)</t>
  </si>
  <si>
    <t>Pengeluaran Kas:</t>
  </si>
  <si>
    <t xml:space="preserve">  - HPP Bahan &amp; Produksi</t>
  </si>
  <si>
    <t xml:space="preserve">  - Operasional &amp; Gaji</t>
  </si>
  <si>
    <t xml:space="preserve">  - Pemasaran / Iklan</t>
  </si>
  <si>
    <t>Total Pengeluaran Kas</t>
  </si>
  <si>
    <t>Surplus / Arus Kas Bersih</t>
  </si>
  <si>
    <t>ANALISIS KELAYAKAN INVESTASI - ETHEREAL HIJAB</t>
  </si>
  <si>
    <t>1. Accounting Rate of Return (ARR)</t>
  </si>
  <si>
    <t>Investasi Awal (Io)</t>
  </si>
  <si>
    <t>Rata-rata Laba Bersih Per Bulan</t>
  </si>
  <si>
    <t>ARR (Tahunan)</t>
  </si>
  <si>
    <t>2. Payback Period (PP)</t>
  </si>
  <si>
    <t>Akumulasi Kas Masuk Bulan 1</t>
  </si>
  <si>
    <t>Akumulasi Kas Masuk Bulan 2</t>
  </si>
  <si>
    <t>Payback Period (Bulan)</t>
  </si>
  <si>
    <t>3. Net Present Value (NPV) &amp; Profitability Index (PI)</t>
  </si>
  <si>
    <t>Discount Rate (Suku Bunga)</t>
  </si>
  <si>
    <t>Total PV of Cash Flows</t>
  </si>
  <si>
    <t>Net Present Value (NPV)</t>
  </si>
  <si>
    <t>Profitability Index (PI)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</si>
</sst>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6D544C"/>
      <sz val="16"/>
      <name val="Georgia"/>
    </font>
    <font>
      <b/>
    </font>
    <font>
      <b/>
      <sz val="12"/>
    </font>
    <font>
      <b/>
      <color rgb="FF4A3E3D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DC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3" fontId="0" fillId="0" borderId="0" xfId="0" applyNumberFormat="1"/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9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outlineLevelRow="0" outlineLevelCol="0" x14ac:dyDescent="55"/>
  <cols>
    <col min="1" max="1" width="12" customWidth="1"/>
    <col min="2" max="2" width="49" customWidth="1"/>
    <col min="3" max="3" width="34" customWidth="1"/>
    <col min="4" max="4" width="20" customWidth="1"/>
  </cols>
  <sheetData>
    <row r="1" spans="1:4" x14ac:dyDescent="0.25"/>
    <row r="2" spans="1:4" x14ac:dyDescent="0.25">
      <c r="B2" s="1" t="s">
        <v>0</v>
      </c>
    </row>
    <row r="3" spans="1:4" x14ac:dyDescent="0.25"/>
    <row r="4" spans="1:4" x14ac:dyDescent="0.25">
      <c r="B4" s="2" t="s">
        <v>1</v>
      </c>
      <c r="C4" t="s">
        <v>2</v>
      </c>
    </row>
    <row r="5" spans="1:4" x14ac:dyDescent="0.25">
      <c r="B5" s="2" t="s">
        <v>3</v>
      </c>
      <c r="C5" t="s">
        <v>4</v>
      </c>
    </row>
    <row r="6" spans="1:4" x14ac:dyDescent="0.25">
      <c r="B6" s="2" t="s">
        <v>5</v>
      </c>
      <c r="C6" t="s">
        <v>6</v>
      </c>
    </row>
    <row r="7" spans="1:4" x14ac:dyDescent="0.25"/>
    <row r="8" spans="1:4" x14ac:dyDescent="0.25">
      <c r="B8" s="3" t="s">
        <v>7</v>
      </c>
    </row>
    <row r="9" spans="1:4" x14ac:dyDescent="0.25">
      <c r="B9" s="4" t="s">
        <v>8</v>
      </c>
      <c r="C9" s="4" t="s">
        <v>9</v>
      </c>
      <c r="D9" s="4" t="s">
        <v>10</v>
      </c>
    </row>
    <row r="10" spans="1:4" x14ac:dyDescent="0.25">
      <c r="B10">
        <v>1</v>
      </c>
      <c r="C10" t="s">
        <v>11</v>
      </c>
      <c r="D10" s="5">
        <v>85000</v>
      </c>
    </row>
    <row r="11" spans="1:4" x14ac:dyDescent="0.25">
      <c r="B11">
        <v>2</v>
      </c>
      <c r="C11" t="s">
        <v>12</v>
      </c>
      <c r="D11" s="5">
        <v>110000</v>
      </c>
    </row>
    <row r="12" spans="1:4" x14ac:dyDescent="0.25">
      <c r="B12">
        <v>3</v>
      </c>
      <c r="C12" t="s">
        <v>13</v>
      </c>
      <c r="D12" s="5">
        <v>45000</v>
      </c>
    </row>
    <row r="13" spans="1:4" x14ac:dyDescent="0.25">
      <c r="B13">
        <v>4</v>
      </c>
      <c r="C13" t="s">
        <v>14</v>
      </c>
      <c r="D13" s="5">
        <v>75000</v>
      </c>
    </row>
    <row r="14" spans="1:4" x14ac:dyDescent="0.25">
      <c r="B14">
        <v>5</v>
      </c>
      <c r="C14" t="s">
        <v>15</v>
      </c>
      <c r="D14" s="5">
        <v>55000</v>
      </c>
    </row>
    <row r="15" spans="1:4" x14ac:dyDescent="0.25">
      <c r="B15">
        <v>6</v>
      </c>
      <c r="C15" t="s">
        <v>16</v>
      </c>
      <c r="D15" s="5">
        <v>60000</v>
      </c>
    </row>
    <row r="16" spans="1:4" x14ac:dyDescent="0.25">
      <c r="B16">
        <v>7</v>
      </c>
      <c r="C16" t="s">
        <v>17</v>
      </c>
      <c r="D16" s="5">
        <v>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 outlineLevelRow="0" outlineLevelCol="0" x14ac:dyDescent="55"/>
  <cols>
    <col min="1" max="1" width="12" customWidth="1"/>
    <col min="2" max="2" width="41" customWidth="1"/>
    <col min="3" max="3" width="38" customWidth="1"/>
    <col min="4" max="4" width="13" customWidth="1"/>
    <col min="5" max="6" width="22" customWidth="1"/>
  </cols>
  <sheetData>
    <row r="1" spans="1:6" x14ac:dyDescent="0.25"/>
    <row r="2" spans="1:6" x14ac:dyDescent="0.25">
      <c r="B2" s="1" t="s">
        <v>18</v>
      </c>
    </row>
    <row r="3" spans="1:6" x14ac:dyDescent="0.25"/>
    <row r="4" spans="1:6" x14ac:dyDescent="0.25"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 spans="1:6" x14ac:dyDescent="0.25">
      <c r="B5">
        <v>1</v>
      </c>
      <c r="C5" t="s">
        <v>24</v>
      </c>
      <c r="D5">
        <v>2</v>
      </c>
      <c r="E5" s="5">
        <v>4500000</v>
      </c>
      <c r="F5" s="5">
        <f>D5*E5</f>
      </c>
    </row>
    <row r="6" spans="1:6" x14ac:dyDescent="0.25">
      <c r="B6">
        <v>2</v>
      </c>
      <c r="C6" t="s">
        <v>25</v>
      </c>
      <c r="D6">
        <v>1</v>
      </c>
      <c r="E6" s="5">
        <v>3500000</v>
      </c>
      <c r="F6" s="5">
        <f>D6*E6</f>
      </c>
    </row>
    <row r="7" spans="1:6" x14ac:dyDescent="0.25">
      <c r="B7">
        <v>3</v>
      </c>
      <c r="C7" t="s">
        <v>26</v>
      </c>
      <c r="D7">
        <v>1</v>
      </c>
      <c r="E7" s="5">
        <v>800000</v>
      </c>
      <c r="F7" s="5">
        <f>D7*E7</f>
      </c>
    </row>
    <row r="8" spans="1:6" x14ac:dyDescent="0.25">
      <c r="B8">
        <v>4</v>
      </c>
      <c r="C8" t="s">
        <v>27</v>
      </c>
      <c r="D8">
        <v>1</v>
      </c>
      <c r="E8" s="5">
        <v>1200000</v>
      </c>
      <c r="F8" s="5">
        <f>D8*E8</f>
      </c>
    </row>
    <row r="9" spans="1:6" x14ac:dyDescent="0.25">
      <c r="B9">
        <v>5</v>
      </c>
      <c r="C9" t="s">
        <v>28</v>
      </c>
      <c r="D9">
        <v>5</v>
      </c>
      <c r="E9" s="5">
        <v>200000</v>
      </c>
      <c r="F9" s="5">
        <f>D9*E9</f>
      </c>
    </row>
    <row r="10" spans="1:6" x14ac:dyDescent="0.25">
      <c r="B10">
        <v>6</v>
      </c>
      <c r="C10" t="s">
        <v>29</v>
      </c>
      <c r="D10">
        <v>1</v>
      </c>
      <c r="E10" s="5">
        <v>20000000</v>
      </c>
      <c r="F10" s="5">
        <f>D10*E10</f>
      </c>
    </row>
    <row r="11" spans="1:6" x14ac:dyDescent="0.25">
      <c r="B11">
        <v>7</v>
      </c>
      <c r="C11" t="s">
        <v>30</v>
      </c>
      <c r="D11">
        <v>1</v>
      </c>
      <c r="E11" s="5">
        <v>5000000</v>
      </c>
      <c r="F11" s="5">
        <f>D11*E11</f>
      </c>
    </row>
    <row r="12" spans="1:6" x14ac:dyDescent="0.25">
      <c r="B12">
        <v>8</v>
      </c>
      <c r="C12" t="s">
        <v>31</v>
      </c>
      <c r="D12">
        <v>1</v>
      </c>
      <c r="E12" s="5">
        <v>1500000</v>
      </c>
      <c r="F12" s="5">
        <f>D12*E12</f>
      </c>
    </row>
    <row r="13" spans="1:6" x14ac:dyDescent="0.25">
      <c r="B13">
        <v>9</v>
      </c>
      <c r="C13" t="s">
        <v>32</v>
      </c>
      <c r="D13">
        <v>1</v>
      </c>
      <c r="E13" s="5">
        <v>4000000</v>
      </c>
      <c r="F13" s="5">
        <f>D13*E13</f>
      </c>
    </row>
    <row r="14" spans="1:6" x14ac:dyDescent="0.25">
      <c r="B14">
        <v>10</v>
      </c>
      <c r="C14" t="s">
        <v>33</v>
      </c>
      <c r="D14">
        <v>1</v>
      </c>
      <c r="E14" s="5">
        <v>2000000</v>
      </c>
      <c r="F14" s="5">
        <f>D14*E14</f>
      </c>
    </row>
    <row r="15" spans="1:6" x14ac:dyDescent="0.25">
      <c r="B15">
        <v>11</v>
      </c>
      <c r="C15" t="s">
        <v>34</v>
      </c>
      <c r="D15">
        <v>1</v>
      </c>
      <c r="E15" s="5">
        <v>10000000</v>
      </c>
      <c r="F15" s="5">
        <f>D15*E15</f>
      </c>
    </row>
    <row r="16" spans="1:6" x14ac:dyDescent="0.25">
      <c r="C16" s="2" t="s">
        <v>35</v>
      </c>
      <c r="F16" s="6">
        <f>SUM(F5:F15)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 outlineLevelRow="0" outlineLevelCol="0" x14ac:dyDescent="55"/>
  <cols>
    <col min="1" max="1" width="12" customWidth="1"/>
    <col min="2" max="2" width="31" customWidth="1"/>
    <col min="3" max="3" width="34" customWidth="1"/>
    <col min="4" max="4" width="20" customWidth="1"/>
    <col min="5" max="5" width="27" customWidth="1"/>
    <col min="6" max="6" width="28" customWidth="1"/>
    <col min="7" max="7" width="19" customWidth="1"/>
    <col min="8" max="8" width="20" customWidth="1"/>
    <col min="9" max="9" width="21" customWidth="1"/>
  </cols>
  <sheetData>
    <row r="1" spans="1:9" x14ac:dyDescent="0.25"/>
    <row r="2" spans="1:9" x14ac:dyDescent="0.25">
      <c r="B2" s="1" t="s">
        <v>36</v>
      </c>
    </row>
    <row r="3" spans="1:9" x14ac:dyDescent="0.25"/>
    <row r="4" spans="1:9" x14ac:dyDescent="0.25">
      <c r="B4" s="4" t="s">
        <v>19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10</v>
      </c>
      <c r="I4" s="4" t="s">
        <v>42</v>
      </c>
    </row>
    <row r="5" spans="1:9" x14ac:dyDescent="0.25">
      <c r="B5">
        <v>1</v>
      </c>
      <c r="C5" t="s">
        <v>11</v>
      </c>
      <c r="D5" s="5">
        <v>22000</v>
      </c>
      <c r="E5" s="5">
        <v>4000</v>
      </c>
      <c r="F5" s="5">
        <v>9000</v>
      </c>
      <c r="G5" s="5">
        <f>SUM(D5:F5)</f>
      </c>
      <c r="H5" s="5">
        <v>85000</v>
      </c>
      <c r="I5" s="5">
        <f>H5-G5</f>
      </c>
    </row>
    <row r="6" spans="1:9" x14ac:dyDescent="0.25">
      <c r="B6">
        <v>2</v>
      </c>
      <c r="C6" t="s">
        <v>12</v>
      </c>
      <c r="D6" s="5">
        <v>28000</v>
      </c>
      <c r="E6" s="5">
        <v>4000</v>
      </c>
      <c r="F6" s="5">
        <v>10000</v>
      </c>
      <c r="G6" s="5">
        <f>SUM(D6:F6)</f>
      </c>
      <c r="H6" s="5">
        <v>110000</v>
      </c>
      <c r="I6" s="5">
        <f>H6-G6</f>
      </c>
    </row>
    <row r="7" spans="1:9" x14ac:dyDescent="0.25">
      <c r="B7">
        <v>3</v>
      </c>
      <c r="C7" t="s">
        <v>13</v>
      </c>
      <c r="D7" s="5">
        <v>11000</v>
      </c>
      <c r="E7" s="5">
        <v>3000</v>
      </c>
      <c r="F7" s="5">
        <v>6000</v>
      </c>
      <c r="G7" s="5">
        <f>SUM(D7:F7)</f>
      </c>
      <c r="H7" s="5">
        <v>45000</v>
      </c>
      <c r="I7" s="5">
        <f>H7-G7</f>
      </c>
    </row>
    <row r="8" spans="1:9" x14ac:dyDescent="0.25">
      <c r="B8">
        <v>4</v>
      </c>
      <c r="C8" t="s">
        <v>14</v>
      </c>
      <c r="D8" s="5">
        <v>19000</v>
      </c>
      <c r="E8" s="5">
        <v>4000</v>
      </c>
      <c r="F8" s="5">
        <v>9000</v>
      </c>
      <c r="G8" s="5">
        <f>SUM(D8:F8)</f>
      </c>
      <c r="H8" s="5">
        <v>75000</v>
      </c>
      <c r="I8" s="5">
        <f>H8-G8</f>
      </c>
    </row>
    <row r="9" spans="1:9" x14ac:dyDescent="0.25">
      <c r="B9">
        <v>5</v>
      </c>
      <c r="C9" t="s">
        <v>15</v>
      </c>
      <c r="D9" s="5">
        <v>13000</v>
      </c>
      <c r="E9" s="5">
        <v>3000</v>
      </c>
      <c r="F9" s="5">
        <v>7000</v>
      </c>
      <c r="G9" s="5">
        <f>SUM(D9:F9)</f>
      </c>
      <c r="H9" s="5">
        <v>55000</v>
      </c>
      <c r="I9" s="5">
        <f>H9-G9</f>
      </c>
    </row>
    <row r="10" spans="1:9" x14ac:dyDescent="0.25">
      <c r="B10">
        <v>6</v>
      </c>
      <c r="C10" t="s">
        <v>16</v>
      </c>
      <c r="D10" s="5">
        <v>15000</v>
      </c>
      <c r="E10" s="5">
        <v>3000</v>
      </c>
      <c r="F10" s="5">
        <v>7000</v>
      </c>
      <c r="G10" s="5">
        <f>SUM(D10:F10)</f>
      </c>
      <c r="H10" s="5">
        <v>60000</v>
      </c>
      <c r="I10" s="5">
        <f>H10-G10</f>
      </c>
    </row>
    <row r="11" spans="1:9" x14ac:dyDescent="0.25">
      <c r="B11">
        <v>7</v>
      </c>
      <c r="C11" t="s">
        <v>17</v>
      </c>
      <c r="D11" s="5">
        <v>4000</v>
      </c>
      <c r="E11" s="5">
        <v>2000</v>
      </c>
      <c r="F11" s="5">
        <v>3000</v>
      </c>
      <c r="G11" s="5">
        <f>SUM(D11:F11)</f>
      </c>
      <c r="H11" s="5">
        <v>20000</v>
      </c>
      <c r="I11" s="5">
        <f>H11-G11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 outlineLevelRow="0" outlineLevelCol="0" x14ac:dyDescent="55"/>
  <cols>
    <col min="1" max="1" width="12" customWidth="1"/>
    <col min="2" max="2" width="57" customWidth="1"/>
    <col min="3" max="14" width="14" customWidth="1"/>
  </cols>
  <sheetData>
    <row r="1" spans="1:14" x14ac:dyDescent="0.25"/>
    <row r="2" spans="1:14" x14ac:dyDescent="0.25">
      <c r="B2" s="1" t="s">
        <v>43</v>
      </c>
    </row>
    <row r="3" spans="1:14" x14ac:dyDescent="0.25"/>
    <row r="4" spans="1:14" x14ac:dyDescent="0.25"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51</v>
      </c>
      <c r="J4" s="4" t="s">
        <v>52</v>
      </c>
      <c r="K4" s="4" t="s">
        <v>53</v>
      </c>
      <c r="L4" s="4" t="s">
        <v>54</v>
      </c>
      <c r="M4" s="4" t="s">
        <v>55</v>
      </c>
      <c r="N4" s="4" t="s">
        <v>56</v>
      </c>
    </row>
    <row r="5" spans="1:14" x14ac:dyDescent="0.25">
      <c r="B5" t="s">
        <v>57</v>
      </c>
      <c r="C5" s="5">
        <v>1619500</v>
      </c>
      <c r="D5" s="5">
        <v>1700475</v>
      </c>
      <c r="E5" s="5">
        <v>1732865</v>
      </c>
      <c r="F5" s="5">
        <v>1781450</v>
      </c>
      <c r="G5" s="5">
        <v>1813840</v>
      </c>
      <c r="H5" s="5">
        <v>1862425</v>
      </c>
      <c r="I5" s="5">
        <v>1894815</v>
      </c>
      <c r="J5" s="5">
        <v>1943400</v>
      </c>
      <c r="K5" s="5">
        <v>1975790</v>
      </c>
      <c r="L5" s="5">
        <v>2024375</v>
      </c>
      <c r="M5" s="5">
        <v>2056765</v>
      </c>
      <c r="N5" s="5">
        <v>2105350</v>
      </c>
    </row>
    <row r="6" spans="1:14" x14ac:dyDescent="0.25">
      <c r="B6" t="s">
        <v>58</v>
      </c>
    </row>
    <row r="7" spans="1:14" x14ac:dyDescent="0.25">
      <c r="B7" t="s">
        <v>59</v>
      </c>
      <c r="C7" s="5">
        <v>728775</v>
      </c>
      <c r="D7" s="5">
        <v>748209</v>
      </c>
      <c r="E7" s="5">
        <v>745132</v>
      </c>
      <c r="F7" s="5">
        <v>748209</v>
      </c>
      <c r="G7" s="5">
        <v>761813</v>
      </c>
      <c r="H7" s="5">
        <v>763594</v>
      </c>
      <c r="I7" s="5">
        <v>776874</v>
      </c>
      <c r="J7" s="5">
        <v>777360</v>
      </c>
      <c r="K7" s="5">
        <v>790316</v>
      </c>
      <c r="L7" s="5">
        <v>789506</v>
      </c>
      <c r="M7" s="5">
        <v>802138</v>
      </c>
      <c r="N7" s="5">
        <v>800033</v>
      </c>
    </row>
    <row r="8" spans="1:14" x14ac:dyDescent="0.25">
      <c r="B8" t="s">
        <v>60</v>
      </c>
      <c r="C8" s="5">
        <v>12000000</v>
      </c>
      <c r="D8" s="5">
        <v>12200000</v>
      </c>
      <c r="E8" s="5">
        <v>12500000</v>
      </c>
      <c r="F8" s="5">
        <v>12800000</v>
      </c>
      <c r="G8" s="5">
        <v>13000000</v>
      </c>
      <c r="H8" s="5">
        <v>13200000</v>
      </c>
      <c r="I8" s="5">
        <v>13500000</v>
      </c>
      <c r="J8" s="5">
        <v>13800000</v>
      </c>
      <c r="K8" s="5">
        <v>14000000</v>
      </c>
      <c r="L8" s="5">
        <v>14200000</v>
      </c>
      <c r="M8" s="5">
        <v>14500000</v>
      </c>
      <c r="N8" s="5">
        <v>14800000</v>
      </c>
    </row>
    <row r="9" spans="1:14" x14ac:dyDescent="0.25">
      <c r="B9" t="s">
        <v>61</v>
      </c>
      <c r="C9" s="5">
        <v>3000000</v>
      </c>
      <c r="D9" s="5">
        <v>3100000</v>
      </c>
      <c r="E9" s="5">
        <v>3200000</v>
      </c>
      <c r="F9" s="5">
        <v>3300000</v>
      </c>
      <c r="G9" s="5">
        <v>3400000</v>
      </c>
      <c r="H9" s="5">
        <v>3500000</v>
      </c>
      <c r="I9" s="5">
        <v>3600000</v>
      </c>
      <c r="J9" s="5">
        <v>3700000</v>
      </c>
      <c r="K9" s="5">
        <v>3800000</v>
      </c>
      <c r="L9" s="5">
        <v>3900000</v>
      </c>
      <c r="M9" s="5">
        <v>4000000</v>
      </c>
      <c r="N9" s="5">
        <v>4100000</v>
      </c>
    </row>
    <row r="10" spans="1:14" x14ac:dyDescent="0.25">
      <c r="B10" s="2" t="s">
        <v>62</v>
      </c>
      <c r="C10" s="6">
        <f>SUM(C7:C9)</f>
      </c>
      <c r="D10" s="6">
        <f>SUM(D7:D9)</f>
      </c>
      <c r="E10" s="6">
        <f>SUM(E7:E9)</f>
      </c>
      <c r="F10" s="6">
        <f>SUM(F7:F9)</f>
      </c>
      <c r="G10" s="6">
        <f>SUM(G7:G9)</f>
      </c>
      <c r="H10" s="6">
        <f>SUM(H7:H9)</f>
      </c>
      <c r="I10" s="6">
        <f>SUM(I7:I9)</f>
      </c>
      <c r="J10" s="6">
        <f>SUM(J7:J9)</f>
      </c>
      <c r="K10" s="6">
        <f>SUM(K7:K9)</f>
      </c>
      <c r="L10" s="6">
        <f>SUM(L7:L9)</f>
      </c>
      <c r="M10" s="6">
        <f>SUM(M7:M9)</f>
      </c>
      <c r="N10" s="6">
        <f>SUM(N7:N9)</f>
      </c>
    </row>
    <row r="11" spans="1:14" x14ac:dyDescent="0.25">
      <c r="B11" s="2" t="s">
        <v>63</v>
      </c>
      <c r="C11" s="6">
        <f>C5-C10</f>
      </c>
      <c r="D11" s="6">
        <f>D5-D10</f>
      </c>
      <c r="E11" s="6">
        <f>E5-E10</f>
      </c>
      <c r="F11" s="6">
        <f>F5-F10</f>
      </c>
      <c r="G11" s="6">
        <f>G5-G10</f>
      </c>
      <c r="H11" s="6">
        <f>H5-H10</f>
      </c>
      <c r="I11" s="6">
        <f>I5-I10</f>
      </c>
      <c r="J11" s="6">
        <f>J5-J10</f>
      </c>
      <c r="K11" s="6">
        <f>K5-K10</f>
      </c>
      <c r="L11" s="6">
        <f>L5-L10</f>
      </c>
      <c r="M11" s="6">
        <f>M5-M10</f>
      </c>
      <c r="N11" s="6">
        <f>N5-N10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 outlineLevelRow="0" outlineLevelCol="0" x14ac:dyDescent="55"/>
  <cols>
    <col min="1" max="1" width="12" customWidth="1"/>
    <col min="2" max="2" width="57" customWidth="1"/>
    <col min="3" max="3" width="33" customWidth="1"/>
  </cols>
  <sheetData>
    <row r="1" spans="1:3" x14ac:dyDescent="0.25"/>
    <row r="2" spans="1:3" x14ac:dyDescent="0.25">
      <c r="B2" s="1" t="s">
        <v>64</v>
      </c>
    </row>
    <row r="3" spans="1:3" x14ac:dyDescent="0.25"/>
    <row r="4" spans="1:3" x14ac:dyDescent="0.25">
      <c r="B4" s="3" t="s">
        <v>65</v>
      </c>
    </row>
    <row r="5" spans="1:3" x14ac:dyDescent="0.25">
      <c r="B5" t="s">
        <v>66</v>
      </c>
      <c r="C5" s="5">
        <f>'Investasi Awal'!F16</f>
      </c>
    </row>
    <row r="6" spans="1:3" x14ac:dyDescent="0.25">
      <c r="B6" t="s">
        <v>67</v>
      </c>
      <c r="C6" s="5">
        <f>AVERAGE('Arus Kas'!C11:N11)</f>
      </c>
    </row>
    <row r="7" spans="1:3" x14ac:dyDescent="0.25">
      <c r="B7" t="s">
        <v>68</v>
      </c>
      <c r="C7" s="7">
        <f>(C6*12)/C5</f>
      </c>
    </row>
    <row r="8" spans="1:3" x14ac:dyDescent="0.25"/>
    <row r="9" spans="1:3" x14ac:dyDescent="0.25">
      <c r="B9" s="3" t="s">
        <v>69</v>
      </c>
    </row>
    <row r="10" spans="1:3" x14ac:dyDescent="0.25">
      <c r="B10" t="s">
        <v>70</v>
      </c>
      <c r="C10" s="5">
        <f>'Arus Kas'!C11</f>
      </c>
    </row>
    <row r="11" spans="1:3" x14ac:dyDescent="0.25">
      <c r="B11" t="s">
        <v>71</v>
      </c>
      <c r="C11" s="5">
        <f>'Arus Kas'!C11+'Arus Kas'!D11</f>
      </c>
    </row>
    <row r="12" spans="1:3" x14ac:dyDescent="0.25">
      <c r="B12" t="s">
        <v>72</v>
      </c>
      <c r="C12" s="8">
        <f>C5/C6</f>
      </c>
    </row>
    <row r="13" spans="1:3" x14ac:dyDescent="0.25"/>
    <row r="14" spans="1:3" x14ac:dyDescent="0.25">
      <c r="B14" s="3" t="s">
        <v>73</v>
      </c>
    </row>
    <row r="15" spans="1:3" x14ac:dyDescent="0.25">
      <c r="B15" t="s">
        <v>74</v>
      </c>
      <c r="C15" s="9">
        <v>0.12</v>
      </c>
    </row>
    <row r="16" spans="1:3" x14ac:dyDescent="0.25">
      <c r="B16" t="s">
        <v>75</v>
      </c>
      <c r="C16" s="5">
        <f>NPV(C15, 'Arus Kas'!C11:N11)</f>
      </c>
    </row>
    <row r="17" spans="1:3" x14ac:dyDescent="0.25">
      <c r="B17" t="s">
        <v>76</v>
      </c>
      <c r="C17" s="6">
        <f>C16-C5</f>
      </c>
    </row>
    <row r="18" spans="1:3" x14ac:dyDescent="0.25">
      <c r="B18" t="s">
        <v>77</v>
      </c>
      <c r="C18" s="10">
        <f>C16/C5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Proyek</vt:lpstr>
      <vt:lpstr>Investasi Awal</vt:lpstr>
      <vt:lpstr>HPP &amp; Biaya Variabel</vt:lpstr>
      <vt:lpstr>Arus Kas</vt:lpstr>
      <vt:lpstr>Analisis Kelayakan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Meutia</dc:creator>
  <dc:title/>
  <dc:subject/>
  <dc:description/>
  <cp:keywords/>
  <cp:category/>
  <cp:lastModifiedBy>Meutia</cp:lastModifiedBy>
  <dcterms:created xsi:type="dcterms:W3CDTF">2026-06-17T14:48:24Z</dcterms:created>
  <dcterms:modified xsi:type="dcterms:W3CDTF">2026-06-17T14:48:24Z</dcterms:modified>
</cp:coreProperties>
</file>